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3CA0CA7D-44BD-4FBB-93B9-C1F73EC506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" sheetId="1" r:id="rId1"/>
    <sheet name="Perfis" sheetId="2" r:id="rId2"/>
  </sheets>
  <definedNames>
    <definedName name="aporte">App!$D$16:$D$16</definedName>
    <definedName name="patrimonio_acumulado">App!$D$19:$D$19</definedName>
    <definedName name="qtd_anos">App!$D$17:$D$17</definedName>
    <definedName name="rendimento_carteira">App!$E$12:$E$12</definedName>
    <definedName name="sugestao_investimento">App!$E$13:$E$13</definedName>
    <definedName name="taxa_mensal">App!$D$18:$D$18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6" i="1"/>
  <c r="D37" i="1"/>
  <c r="D38" i="1"/>
  <c r="D39" i="1"/>
  <c r="D34" i="1"/>
  <c r="E34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E35" i="1"/>
  <c r="E36" i="1"/>
  <c r="E37" i="1"/>
  <c r="E38" i="1"/>
  <c r="E39" i="1"/>
  <c r="D31" i="1" a="1"/>
  <c r="D31" i="1"/>
  <c r="C27" i="1" a="1"/>
  <c r="C27" i="1"/>
  <c r="C26" i="1" a="1"/>
  <c r="C26" i="1"/>
  <c r="C25" i="1" a="1"/>
  <c r="C25" i="1"/>
  <c r="C24" i="1" a="1"/>
  <c r="C24" i="1"/>
  <c r="C23" i="1" a="1"/>
  <c r="C23" i="1"/>
  <c r="D19" i="1" a="1"/>
  <c r="D19" i="1"/>
  <c r="D20" i="1" s="1" a="1"/>
  <c r="D20" i="1" s="1"/>
  <c r="D27" i="1" a="1"/>
  <c r="D27" i="1"/>
  <c r="D26" i="1" a="1"/>
  <c r="D26" i="1"/>
  <c r="D25" i="1" a="1"/>
  <c r="D25" i="1"/>
  <c r="D24" i="1" a="1"/>
  <c r="D24" i="1"/>
  <c r="D23" i="1" a="1"/>
  <c r="D23" i="1"/>
  <c r="E13" i="1"/>
  <c r="E4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<sst xmlns="http://schemas.openxmlformats.org/spreadsheetml/2006/main" count="70" uniqueCount="36">
  <si>
    <t>Configurações</t>
  </si>
  <si>
    <t>Salário</t>
  </si>
  <si>
    <t>Rendimento Carteira</t>
  </si>
  <si>
    <t>Sugestão de Investimento (30%)</t>
  </si>
  <si>
    <t>INVESTIMENTO MENSAL</t>
  </si>
  <si>
    <t>Quanto investir por mês?</t>
  </si>
  <si>
    <t>Por quantos anos?</t>
  </si>
  <si>
    <t>Taxa de Rendimento Mensal</t>
  </si>
  <si>
    <t>Patrimônio Acumulado</t>
  </si>
  <si>
    <t>Dividendos Mensais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</si>
  <si>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</si>
  <si>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</si>
  <si>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</si>
  <si>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</si>
  <si>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</si>
  <si>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</si>
  <si>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</si>
  <si>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</si>
  <si>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</si>
  <si>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</si>
  <si>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</si>
  <si>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</si>
  <si>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</si>
  <si>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</si>
  <si>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</si>
  <si>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</si>
  <si>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</si>
  <si>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</si>
  <si>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</si>
  <si>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</si>
  <si>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CHAVE</t>
  </si>
  <si>
    <t>PERFIL</t>
  </si>
  <si>
    <t>TIPO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</si>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</sst>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&quot;R$&quot;\ #,##0.00"/>
  </numFmts>
  <fonts count="10">
    <font>
      <sz val="11"/>
      <color theme="1"/>
      <name val="Aptos Narrow"/>
      <family val="2"/>
      <scheme val="minor"/>
    </font>
    <font>
      <sz val="20"/>
      <color rgb="FFFFFFFF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5700"/>
      <name val="Calibri"/>
      <scheme val="minor"/>
    </font>
    <font>
      <sz val="18"/>
      <color rgb="FFFFFFFF"/>
      <name val="Aptos Narrow"/>
      <scheme val="minor"/>
    </font>
    <font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9C57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theme="1"/>
      </right>
      <top/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0" borderId="0" xfId="0" applyFont="1"/>
    <xf numFmtId="165" fontId="0" fillId="0" borderId="6" xfId="0" applyNumberFormat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165" fontId="0" fillId="6" borderId="8" xfId="0" applyNumberForma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8" fontId="0" fillId="3" borderId="10" xfId="0" applyNumberFormat="1" applyFill="1" applyBorder="1" applyAlignment="1">
      <alignment horizontal="center" vertical="center"/>
    </xf>
    <xf numFmtId="8" fontId="0" fillId="3" borderId="6" xfId="0" applyNumberFormat="1" applyFill="1" applyBorder="1" applyAlignment="1">
      <alignment horizontal="center" vertical="center"/>
    </xf>
    <xf numFmtId="8" fontId="0" fillId="3" borderId="14" xfId="0" applyNumberFormat="1" applyFill="1" applyBorder="1" applyAlignment="1">
      <alignment horizontal="center" vertical="center"/>
    </xf>
    <xf numFmtId="8" fontId="0" fillId="3" borderId="8" xfId="0" applyNumberFormat="1" applyFill="1" applyBorder="1" applyAlignment="1">
      <alignment horizontal="center" vertical="center"/>
    </xf>
    <xf numFmtId="8" fontId="0" fillId="3" borderId="10" xfId="0" applyNumberFormat="1" applyFill="1" applyBorder="1" applyAlignment="1">
      <alignment horizontal="center" vertical="center"/>
    </xf>
    <xf numFmtId="8" fontId="0" fillId="3" borderId="14" xfId="0" applyNumberForma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 indent="2"/>
    </xf>
    <xf numFmtId="0" fontId="7" fillId="6" borderId="9" xfId="0" applyFont="1" applyFill="1" applyBorder="1" applyAlignment="1">
      <alignment horizontal="left" vertical="center" indent="2"/>
    </xf>
    <xf numFmtId="0" fontId="7" fillId="6" borderId="5" xfId="0" applyFont="1" applyFill="1" applyBorder="1" applyAlignment="1">
      <alignment horizontal="left" vertical="center" indent="2"/>
    </xf>
    <xf numFmtId="0" fontId="7" fillId="6" borderId="10" xfId="0" applyFont="1" applyFill="1" applyBorder="1" applyAlignment="1">
      <alignment horizontal="left" vertical="center" indent="2"/>
    </xf>
    <xf numFmtId="0" fontId="7" fillId="6" borderId="7" xfId="0" applyFont="1" applyFill="1" applyBorder="1" applyAlignment="1">
      <alignment horizontal="left" vertical="center" indent="2"/>
    </xf>
    <xf numFmtId="0" fontId="7" fillId="6" borderId="14" xfId="0" applyFont="1" applyFill="1" applyBorder="1" applyAlignment="1">
      <alignment horizontal="left" vertical="center" indent="2"/>
    </xf>
    <xf numFmtId="0" fontId="7" fillId="3" borderId="3" xfId="0" applyFont="1" applyFill="1" applyBorder="1" applyAlignment="1">
      <alignment horizontal="left" vertical="center" indent="2"/>
    </xf>
    <xf numFmtId="0" fontId="7" fillId="3" borderId="9" xfId="0" applyFont="1" applyFill="1" applyBorder="1" applyAlignment="1">
      <alignment horizontal="left" vertical="center" indent="2"/>
    </xf>
    <xf numFmtId="0" fontId="7" fillId="3" borderId="5" xfId="0" applyFont="1" applyFill="1" applyBorder="1" applyAlignment="1">
      <alignment horizontal="left" vertical="center" indent="2"/>
    </xf>
    <xf numFmtId="0" fontId="7" fillId="3" borderId="10" xfId="0" applyFont="1" applyFill="1" applyBorder="1" applyAlignment="1">
      <alignment horizontal="left" vertical="center" indent="2"/>
    </xf>
    <xf numFmtId="0" fontId="8" fillId="3" borderId="5" xfId="0" applyFont="1" applyFill="1" applyBorder="1" applyAlignment="1">
      <alignment horizontal="left" vertical="center" indent="2"/>
    </xf>
    <xf numFmtId="0" fontId="8" fillId="3" borderId="10" xfId="0" applyFont="1" applyFill="1" applyBorder="1" applyAlignment="1">
      <alignment horizontal="left" vertical="center" indent="2"/>
    </xf>
    <xf numFmtId="0" fontId="8" fillId="3" borderId="7" xfId="0" applyFont="1" applyFill="1" applyBorder="1" applyAlignment="1">
      <alignment horizontal="left" vertical="center" indent="2"/>
    </xf>
    <xf numFmtId="0" fontId="8" fillId="3" borderId="14" xfId="0" applyFont="1" applyFill="1" applyBorder="1" applyAlignment="1">
      <alignment horizontal="left" vertical="center" indent="2"/>
    </xf>
    <xf numFmtId="0" fontId="7" fillId="3" borderId="5" xfId="0" applyFont="1" applyFill="1" applyBorder="1" applyAlignment="1">
      <alignment horizontal="left" vertical="center" indent="2"/>
    </xf>
    <xf numFmtId="0" fontId="7" fillId="3" borderId="7" xfId="0" applyFont="1" applyFill="1" applyBorder="1" applyAlignment="1">
      <alignment horizontal="left" vertical="center" indent="2"/>
    </xf>
    <xf numFmtId="0" fontId="4" fillId="4" borderId="0" xfId="1" applyAlignment="1">
      <alignment horizontal="center"/>
    </xf>
    <xf numFmtId="0" fontId="2" fillId="6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7" borderId="0" xfId="0" applyFont="1" applyFill="1"/>
    <xf numFmtId="165" fontId="2" fillId="7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10" fontId="0" fillId="0" borderId="6" xfId="0" applyNumberFormat="1" applyBorder="1" applyAlignment="1">
      <alignment horizontal="center" vertical="center"/>
    </xf>
    <xf numFmtId="0" fontId="9" fillId="4" borderId="0" xfId="1" applyFont="1"/>
    <xf numFmtId="0" fontId="9" fillId="4" borderId="0" xfId="1" applyFont="1" applyAlignment="1">
      <alignment horizontal="center"/>
    </xf>
    <xf numFmtId="0" fontId="8" fillId="6" borderId="0" xfId="0" applyFont="1" applyFill="1"/>
    <xf numFmtId="165" fontId="8" fillId="6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123825</xdr:rowOff>
    </xdr:from>
    <xdr:to>
      <xdr:col>5</xdr:col>
      <xdr:colOff>9525</xdr:colOff>
      <xdr:row>8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E4B81A-5D8D-44E8-8D7F-384DA4714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371475" y="123825"/>
          <a:ext cx="8572500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I40"/>
  <sheetViews>
    <sheetView showGridLines="0" tabSelected="1" topLeftCell="A15" workbookViewId="0">
      <selection activeCell="C47" sqref="C47"/>
    </sheetView>
  </sheetViews>
  <sheetFormatPr defaultColWidth="0" defaultRowHeight="15"/>
  <cols>
    <col min="1" max="1" width="6" customWidth="1"/>
    <col min="2" max="2" width="37.42578125" customWidth="1"/>
    <col min="3" max="3" width="47.85546875" customWidth="1"/>
    <col min="4" max="4" width="20" bestFit="1" customWidth="1"/>
    <col min="5" max="5" width="22.7109375" bestFit="1" customWidth="1"/>
    <col min="6" max="6" width="9.140625" customWidth="1"/>
    <col min="7" max="7" width="6.28515625" customWidth="1"/>
    <col min="8" max="9" width="9.140625" hidden="1" customWidth="1"/>
  </cols>
  <sheetData>
    <row r="10" spans="2:5" ht="24">
      <c r="B10" s="3" t="s">
        <v>0</v>
      </c>
      <c r="C10" s="7"/>
      <c r="D10" s="7"/>
      <c r="E10" s="4"/>
    </row>
    <row r="11" spans="2:5" ht="15.75">
      <c r="B11" s="32" t="s">
        <v>1</v>
      </c>
      <c r="C11" s="33"/>
      <c r="D11" s="33"/>
      <c r="E11" s="6">
        <v>5000</v>
      </c>
    </row>
    <row r="12" spans="2:5" ht="15.75">
      <c r="B12" s="34" t="s">
        <v>2</v>
      </c>
      <c r="C12" s="35"/>
      <c r="D12" s="35"/>
      <c r="E12" s="61">
        <v>0.01</v>
      </c>
    </row>
    <row r="13" spans="2:5" ht="15.75">
      <c r="B13" s="36" t="s">
        <v>3</v>
      </c>
      <c r="C13" s="37"/>
      <c r="D13" s="37"/>
      <c r="E13" s="15">
        <f>E11*30%</f>
        <v>1500</v>
      </c>
    </row>
    <row r="15" spans="2:5" ht="30.75" customHeight="1">
      <c r="B15" s="10" t="s">
        <v>4</v>
      </c>
      <c r="C15" s="11"/>
      <c r="D15" s="11"/>
      <c r="E15" s="12"/>
    </row>
    <row r="16" spans="2:5" ht="21" customHeight="1">
      <c r="B16" s="38" t="s">
        <v>5</v>
      </c>
      <c r="C16" s="39"/>
      <c r="D16" s="16">
        <v>500</v>
      </c>
      <c r="E16" s="17"/>
    </row>
    <row r="17" spans="1:5" ht="21" customHeight="1">
      <c r="B17" s="40" t="s">
        <v>6</v>
      </c>
      <c r="C17" s="41"/>
      <c r="D17" s="18">
        <v>5</v>
      </c>
      <c r="E17" s="19"/>
    </row>
    <row r="18" spans="1:5" ht="21" customHeight="1">
      <c r="B18" s="40" t="s">
        <v>7</v>
      </c>
      <c r="C18" s="41"/>
      <c r="D18" s="20">
        <v>1.0789999999999999E-2</v>
      </c>
      <c r="E18" s="21"/>
    </row>
    <row r="19" spans="1:5" ht="21" customHeight="1">
      <c r="B19" s="42" t="s">
        <v>8</v>
      </c>
      <c r="C19" s="43"/>
      <c r="D19" s="22" cm="1">
        <f t="array" ref="D19">FV(taxa_mensal,qtd_anos*12,aporte*-1)</f>
        <v>41888.456999243819</v>
      </c>
      <c r="E19" s="23"/>
    </row>
    <row r="20" spans="1:5" ht="21" customHeight="1">
      <c r="B20" s="44" t="s">
        <v>9</v>
      </c>
      <c r="C20" s="45"/>
      <c r="D20" s="24" cm="1">
        <f t="array" ref="D20">patrimonio_acumulado*rendimento_carteira</f>
        <v>418.88456999243817</v>
      </c>
      <c r="E20" s="25"/>
    </row>
    <row r="21" spans="1:5" ht="15.75">
      <c r="B21" s="5"/>
    </row>
    <row r="22" spans="1:5" ht="26.25">
      <c r="B22" s="8" t="s">
        <v>10</v>
      </c>
      <c r="C22" s="9"/>
      <c r="D22" s="13" t="s">
        <v>11</v>
      </c>
      <c r="E22" s="14"/>
    </row>
    <row r="23" spans="1:5" ht="15.75">
      <c r="A23" s="1">
        <v>2</v>
      </c>
      <c r="B23" s="46" t="s">
        <v>12</v>
      </c>
      <c r="C23" s="30" cm="1">
        <f t="array" ref="C23">FV(taxa_mensal,$A23*12,aporte*-1)</f>
        <v>13613.813648822608</v>
      </c>
      <c r="D23" s="26" cm="1">
        <f t="array" ref="D23">$C23*rendimento_carteira</f>
        <v>136.13813648822608</v>
      </c>
      <c r="E23" s="27"/>
    </row>
    <row r="24" spans="1:5" ht="15.75">
      <c r="A24" s="1">
        <v>5</v>
      </c>
      <c r="B24" s="46" t="s">
        <v>13</v>
      </c>
      <c r="C24" s="30" cm="1">
        <f t="array" ref="C24">FV(taxa_mensal,$A24*12,aporte*-1)</f>
        <v>41888.456999243819</v>
      </c>
      <c r="D24" s="26" cm="1">
        <f t="array" ref="D24">$C24*rendimento_carteira</f>
        <v>418.88456999243817</v>
      </c>
      <c r="E24" s="27"/>
    </row>
    <row r="25" spans="1:5" ht="15.75">
      <c r="A25" s="1">
        <v>10</v>
      </c>
      <c r="B25" s="46" t="s">
        <v>14</v>
      </c>
      <c r="C25" s="30" cm="1">
        <f t="array" ref="C25">FV(taxa_mensal,$A25*12,aporte*-1)</f>
        <v>121642.1062650861</v>
      </c>
      <c r="D25" s="26" cm="1">
        <f t="array" ref="D25">$C25*rendimento_carteira</f>
        <v>1216.4210626508609</v>
      </c>
      <c r="E25" s="27"/>
    </row>
    <row r="26" spans="1:5" ht="15.75">
      <c r="A26" s="1">
        <v>20</v>
      </c>
      <c r="B26" s="46" t="s">
        <v>15</v>
      </c>
      <c r="C26" s="30" cm="1">
        <f t="array" ref="C26">FV(taxa_mensal,$A26*12,aporte*-1)</f>
        <v>562599.20004854025</v>
      </c>
      <c r="D26" s="26" cm="1">
        <f t="array" ref="D26">$C26*rendimento_carteira</f>
        <v>5625.992000485403</v>
      </c>
      <c r="E26" s="27"/>
    </row>
    <row r="27" spans="1:5" ht="15.75">
      <c r="A27" s="1">
        <v>30</v>
      </c>
      <c r="B27" s="47" t="s">
        <v>16</v>
      </c>
      <c r="C27" s="31" cm="1">
        <f t="array" ref="C27">FV(taxa_mensal,$A27*12,aporte*-1)</f>
        <v>2161084.8275023573</v>
      </c>
      <c r="D27" s="28" cm="1">
        <f t="array" ref="D27">$C27*rendimento_carteira</f>
        <v>21610.848275023574</v>
      </c>
      <c r="E27" s="29"/>
    </row>
    <row r="30" spans="1:5" ht="18.75">
      <c r="B30" s="62" t="s">
        <v>17</v>
      </c>
      <c r="C30" s="62"/>
      <c r="D30" s="63" t="s">
        <v>18</v>
      </c>
      <c r="E30" s="48"/>
    </row>
    <row r="31" spans="1:5" ht="15.75">
      <c r="B31" s="64" t="s">
        <v>19</v>
      </c>
      <c r="C31" s="64"/>
      <c r="D31" s="65" cm="1">
        <f t="array" ref="D31">aporte</f>
        <v>500</v>
      </c>
      <c r="E31" s="49"/>
    </row>
    <row r="33" spans="2:5" ht="15.75">
      <c r="B33" s="66" t="s">
        <v>20</v>
      </c>
      <c r="C33" s="66"/>
      <c r="D33" s="66" t="s">
        <v>21</v>
      </c>
      <c r="E33" s="66" t="s">
        <v>22</v>
      </c>
    </row>
    <row r="34" spans="2:5">
      <c r="B34" s="67" t="s">
        <v>23</v>
      </c>
      <c r="C34" s="2"/>
      <c r="D34" s="50">
        <f>VLOOKUP($D$30&amp;"-"&amp;B34,Perfis!A3:D20,4,0)</f>
        <v>0.5</v>
      </c>
      <c r="E34" s="51">
        <f>D34*$D$31</f>
        <v>250</v>
      </c>
    </row>
    <row r="35" spans="2:5">
      <c r="B35" s="67" t="s">
        <v>24</v>
      </c>
      <c r="C35" s="2"/>
      <c r="D35" s="50">
        <f>VLOOKUP($D$30&amp;"-"&amp;B35,Perfis!A4:D21,4,0)</f>
        <v>0.1</v>
      </c>
      <c r="E35" s="51">
        <f t="shared" ref="E35:E39" si="0">D35*$D$31</f>
        <v>50</v>
      </c>
    </row>
    <row r="36" spans="2:5">
      <c r="B36" s="67" t="s">
        <v>25</v>
      </c>
      <c r="C36" s="2"/>
      <c r="D36" s="50">
        <f>VLOOKUP($D$30&amp;"-"&amp;B36,Perfis!A5:D22,4,0)</f>
        <v>0.05</v>
      </c>
      <c r="E36" s="51">
        <f t="shared" si="0"/>
        <v>25</v>
      </c>
    </row>
    <row r="37" spans="2:5">
      <c r="B37" s="67" t="s">
        <v>26</v>
      </c>
      <c r="C37" s="2"/>
      <c r="D37" s="50">
        <f>VLOOKUP($D$30&amp;"-"&amp;B37,Perfis!A6:D23,4,0)</f>
        <v>0.05</v>
      </c>
      <c r="E37" s="51">
        <f t="shared" si="0"/>
        <v>25</v>
      </c>
    </row>
    <row r="38" spans="2:5">
      <c r="B38" s="67" t="s">
        <v>27</v>
      </c>
      <c r="C38" s="2"/>
      <c r="D38" s="50">
        <f>VLOOKUP($D$30&amp;"-"&amp;B38,Perfis!A7:D24,4,0)</f>
        <v>0.2</v>
      </c>
      <c r="E38" s="51">
        <f t="shared" si="0"/>
        <v>100</v>
      </c>
    </row>
    <row r="39" spans="2:5">
      <c r="B39" s="67" t="s">
        <v>28</v>
      </c>
      <c r="C39" s="2"/>
      <c r="D39" s="50">
        <f>VLOOKUP($D$30&amp;"-"&amp;B39,Perfis!A8:D25,4,0)</f>
        <v>0.1</v>
      </c>
      <c r="E39" s="51">
        <f t="shared" si="0"/>
        <v>50</v>
      </c>
    </row>
    <row r="40" spans="2:5">
      <c r="B40" s="52" t="s">
        <v>29</v>
      </c>
      <c r="C40" s="52"/>
      <c r="D40" s="52"/>
      <c r="E40" s="53">
        <f>SUM(E34:E39)</f>
        <v>500</v>
      </c>
    </row>
  </sheetData>
  <mergeCells count="22">
    <mergeCell ref="B10:E10"/>
    <mergeCell ref="B11:D11"/>
    <mergeCell ref="B12:D12"/>
    <mergeCell ref="B13:D13"/>
    <mergeCell ref="B15:E15"/>
    <mergeCell ref="D24:E24"/>
    <mergeCell ref="D25:E25"/>
    <mergeCell ref="D26:E26"/>
    <mergeCell ref="D27:E27"/>
    <mergeCell ref="B22:C22"/>
    <mergeCell ref="D22:E22"/>
    <mergeCell ref="D23:E23"/>
    <mergeCell ref="D16:E16"/>
    <mergeCell ref="D17:E17"/>
    <mergeCell ref="D18:E18"/>
    <mergeCell ref="D19:E19"/>
    <mergeCell ref="D20:E20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D30:E30" xr:uid="{D1757C0C-8515-4A76-B04B-DA9C6C3F69D1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0188-5BE4-4D73-A3BB-086173D6C279}">
  <dimension ref="A2:D20"/>
  <sheetViews>
    <sheetView workbookViewId="0">
      <selection activeCell="G9" sqref="G9"/>
    </sheetView>
  </sheetViews>
  <sheetFormatPr defaultRowHeight="15"/>
  <cols>
    <col min="1" max="1" width="32.85546875" bestFit="1" customWidth="1"/>
    <col min="2" max="2" width="14.7109375" bestFit="1" customWidth="1"/>
    <col min="3" max="3" width="18.42578125" bestFit="1" customWidth="1"/>
  </cols>
  <sheetData>
    <row r="2" spans="1:4">
      <c r="A2" s="54" t="s">
        <v>30</v>
      </c>
      <c r="B2" s="54" t="s">
        <v>31</v>
      </c>
      <c r="C2" s="54" t="s">
        <v>32</v>
      </c>
      <c r="D2" s="54" t="s">
        <v>33</v>
      </c>
    </row>
    <row r="3" spans="1:4">
      <c r="A3" s="2" t="str">
        <f>B3&amp;"-"&amp;C3</f>
        <v>Conservador-PAPEL</v>
      </c>
      <c r="B3" s="2" t="s">
        <v>34</v>
      </c>
      <c r="C3" s="2" t="s">
        <v>23</v>
      </c>
      <c r="D3" s="50">
        <v>0.3</v>
      </c>
    </row>
    <row r="4" spans="1:4">
      <c r="A4" s="2" t="str">
        <f t="shared" ref="A4:A20" si="0">B4&amp;"-"&amp;C4</f>
        <v>Conservador-TIJOLO</v>
      </c>
      <c r="B4" s="2" t="s">
        <v>34</v>
      </c>
      <c r="C4" s="2" t="s">
        <v>24</v>
      </c>
      <c r="D4" s="50">
        <v>0.5</v>
      </c>
    </row>
    <row r="5" spans="1:4">
      <c r="A5" s="2" t="str">
        <f t="shared" si="0"/>
        <v>Conservador-HÍBRIDOS</v>
      </c>
      <c r="B5" s="2" t="s">
        <v>34</v>
      </c>
      <c r="C5" s="2" t="s">
        <v>25</v>
      </c>
      <c r="D5" s="50">
        <v>0.1</v>
      </c>
    </row>
    <row r="6" spans="1:4">
      <c r="A6" s="2" t="str">
        <f t="shared" si="0"/>
        <v>Conservador-FOFs</v>
      </c>
      <c r="B6" s="2" t="s">
        <v>34</v>
      </c>
      <c r="C6" s="2" t="s">
        <v>26</v>
      </c>
      <c r="D6" s="50">
        <v>0.1</v>
      </c>
    </row>
    <row r="7" spans="1:4">
      <c r="A7" s="2" t="str">
        <f t="shared" si="0"/>
        <v>Conservador-DESENVOLVIMENTO</v>
      </c>
      <c r="B7" s="2" t="s">
        <v>34</v>
      </c>
      <c r="C7" s="2" t="s">
        <v>27</v>
      </c>
      <c r="D7" s="50">
        <v>0</v>
      </c>
    </row>
    <row r="8" spans="1:4">
      <c r="A8" s="2" t="str">
        <f t="shared" si="0"/>
        <v>Conservador-HOTELARIAS</v>
      </c>
      <c r="B8" s="2" t="s">
        <v>34</v>
      </c>
      <c r="C8" s="2" t="s">
        <v>28</v>
      </c>
      <c r="D8" s="50">
        <v>0</v>
      </c>
    </row>
    <row r="9" spans="1:4">
      <c r="A9" s="56" t="str">
        <f t="shared" si="0"/>
        <v>Moderado-PAPEL</v>
      </c>
      <c r="B9" s="56" t="s">
        <v>35</v>
      </c>
      <c r="C9" s="56" t="s">
        <v>23</v>
      </c>
      <c r="D9" s="58">
        <v>0.32</v>
      </c>
    </row>
    <row r="10" spans="1:4">
      <c r="A10" s="55" t="str">
        <f t="shared" si="0"/>
        <v>Moderado-TIJOLO</v>
      </c>
      <c r="B10" s="55" t="s">
        <v>35</v>
      </c>
      <c r="C10" s="55" t="s">
        <v>24</v>
      </c>
      <c r="D10" s="59">
        <v>0.4</v>
      </c>
    </row>
    <row r="11" spans="1:4">
      <c r="A11" s="55" t="str">
        <f t="shared" si="0"/>
        <v>Moderado-HÍBRIDOS</v>
      </c>
      <c r="B11" s="55" t="s">
        <v>35</v>
      </c>
      <c r="C11" s="55" t="s">
        <v>25</v>
      </c>
      <c r="D11" s="59">
        <v>0.08</v>
      </c>
    </row>
    <row r="12" spans="1:4">
      <c r="A12" s="55" t="str">
        <f t="shared" si="0"/>
        <v>Moderado-FOFs</v>
      </c>
      <c r="B12" s="55" t="s">
        <v>35</v>
      </c>
      <c r="C12" s="55" t="s">
        <v>26</v>
      </c>
      <c r="D12" s="59">
        <v>0.1</v>
      </c>
    </row>
    <row r="13" spans="1:4">
      <c r="A13" s="55" t="str">
        <f t="shared" si="0"/>
        <v>Moderado-DESENVOLVIMENTO</v>
      </c>
      <c r="B13" s="55" t="s">
        <v>35</v>
      </c>
      <c r="C13" s="55" t="s">
        <v>27</v>
      </c>
      <c r="D13" s="59">
        <v>0.1</v>
      </c>
    </row>
    <row r="14" spans="1:4">
      <c r="A14" s="57" t="str">
        <f t="shared" si="0"/>
        <v>Moderado-HOTELARIAS</v>
      </c>
      <c r="B14" s="57" t="s">
        <v>35</v>
      </c>
      <c r="C14" s="57" t="s">
        <v>28</v>
      </c>
      <c r="D14" s="60">
        <v>0</v>
      </c>
    </row>
    <row r="15" spans="1:4">
      <c r="A15" s="2" t="str">
        <f t="shared" si="0"/>
        <v>Agressivo-PAPEL</v>
      </c>
      <c r="B15" s="2" t="s">
        <v>18</v>
      </c>
      <c r="C15" s="2" t="s">
        <v>23</v>
      </c>
      <c r="D15" s="50">
        <v>0.5</v>
      </c>
    </row>
    <row r="16" spans="1:4">
      <c r="A16" s="2" t="str">
        <f t="shared" si="0"/>
        <v>Agressivo-TIJOLO</v>
      </c>
      <c r="B16" s="2" t="s">
        <v>18</v>
      </c>
      <c r="C16" s="2" t="s">
        <v>24</v>
      </c>
      <c r="D16" s="50">
        <v>0.1</v>
      </c>
    </row>
    <row r="17" spans="1:4">
      <c r="A17" s="2" t="str">
        <f t="shared" si="0"/>
        <v>Agressivo-HÍBRIDOS</v>
      </c>
      <c r="B17" s="2" t="s">
        <v>18</v>
      </c>
      <c r="C17" s="2" t="s">
        <v>25</v>
      </c>
      <c r="D17" s="50">
        <v>0.05</v>
      </c>
    </row>
    <row r="18" spans="1:4">
      <c r="A18" s="2" t="str">
        <f t="shared" si="0"/>
        <v>Agressivo-FOFs</v>
      </c>
      <c r="B18" s="2" t="s">
        <v>18</v>
      </c>
      <c r="C18" s="2" t="s">
        <v>26</v>
      </c>
      <c r="D18" s="50">
        <v>0.05</v>
      </c>
    </row>
    <row r="19" spans="1:4">
      <c r="A19" s="2" t="str">
        <f t="shared" si="0"/>
        <v>Agressivo-DESENVOLVIMENTO</v>
      </c>
      <c r="B19" s="2" t="s">
        <v>18</v>
      </c>
      <c r="C19" s="2" t="s">
        <v>27</v>
      </c>
      <c r="D19" s="50">
        <v>0.2</v>
      </c>
    </row>
    <row r="20" spans="1:4">
      <c r="A20" s="2" t="str">
        <f t="shared" si="0"/>
        <v>Agressivo-HOTELARIAS</v>
      </c>
      <c r="B20" s="2" t="s">
        <v>18</v>
      </c>
      <c r="C20" s="2" t="s">
        <v>28</v>
      </c>
      <c r="D20" s="5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2025-12-19T16:02:25Z</dcterms:created>
  <dcterms:modified xsi:type="dcterms:W3CDTF">2025-12-19T20:00:36Z</dcterms:modified>
  <cp:category/>
  <cp:contentStatus/>
</cp:coreProperties>
</file>